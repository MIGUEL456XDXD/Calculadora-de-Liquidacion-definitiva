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62af1cc7de753f/Documentos/Lenguaje´programacion codigo limpio/"/>
    </mc:Choice>
  </mc:AlternateContent>
  <xr:revisionPtr revIDLastSave="266" documentId="8_{1A40F46C-0700-4F72-9488-C5E7A8A9038B}" xr6:coauthVersionLast="47" xr6:coauthVersionMax="47" xr10:uidLastSave="{AE05C304-7D35-4EC3-B20C-FBCC1415D1DA}"/>
  <bookViews>
    <workbookView xWindow="-28920" yWindow="840" windowWidth="29040" windowHeight="15720" xr2:uid="{35AB77E2-3791-41A9-A4DB-E83E72B647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" i="1" l="1"/>
  <c r="L4" i="1"/>
  <c r="T9" i="1"/>
  <c r="T4" i="1"/>
  <c r="S6" i="1"/>
  <c r="S7" i="1"/>
  <c r="T7" i="1" s="1"/>
  <c r="S8" i="1"/>
  <c r="T8" i="1" s="1"/>
  <c r="S10" i="1"/>
  <c r="T10" i="1" s="1"/>
  <c r="S11" i="1"/>
  <c r="T11" i="1" s="1"/>
  <c r="S4" i="1"/>
  <c r="Q5" i="1"/>
  <c r="Q6" i="1"/>
  <c r="Q7" i="1"/>
  <c r="Q8" i="1"/>
  <c r="Q9" i="1"/>
  <c r="Q10" i="1"/>
  <c r="Q11" i="1"/>
  <c r="Q4" i="1"/>
  <c r="P6" i="1"/>
  <c r="P7" i="1"/>
  <c r="P8" i="1"/>
  <c r="P10" i="1"/>
  <c r="P11" i="1"/>
  <c r="P13" i="1"/>
  <c r="P4" i="1"/>
  <c r="O5" i="1"/>
  <c r="P5" i="1" s="1"/>
  <c r="O6" i="1"/>
  <c r="O7" i="1"/>
  <c r="O8" i="1"/>
  <c r="O10" i="1"/>
  <c r="O11" i="1"/>
  <c r="O13" i="1"/>
  <c r="O4" i="1"/>
  <c r="N5" i="1"/>
  <c r="N6" i="1"/>
  <c r="N7" i="1"/>
  <c r="N8" i="1"/>
  <c r="N9" i="1"/>
  <c r="N10" i="1"/>
  <c r="N11" i="1"/>
  <c r="N13" i="1"/>
  <c r="N4" i="1"/>
  <c r="M5" i="1"/>
  <c r="M7" i="1"/>
  <c r="M8" i="1"/>
  <c r="M9" i="1"/>
  <c r="M10" i="1"/>
  <c r="M11" i="1"/>
  <c r="M4" i="1"/>
  <c r="L5" i="1"/>
  <c r="L7" i="1"/>
  <c r="L8" i="1"/>
  <c r="L9" i="1"/>
  <c r="L10" i="1"/>
  <c r="L11" i="1"/>
  <c r="K5" i="1"/>
  <c r="K6" i="1"/>
  <c r="K7" i="1"/>
  <c r="K8" i="1"/>
  <c r="K9" i="1"/>
  <c r="K10" i="1"/>
  <c r="K11" i="1"/>
  <c r="K13" i="1"/>
  <c r="K4" i="1"/>
  <c r="I6" i="1"/>
  <c r="T5" i="1" l="1"/>
  <c r="L13" i="1"/>
  <c r="M13" i="1"/>
  <c r="T6" i="1"/>
  <c r="M6" i="1"/>
  <c r="L6" i="1"/>
  <c r="I13" i="1"/>
  <c r="H13" i="1"/>
  <c r="I5" i="1"/>
  <c r="I7" i="1"/>
  <c r="I8" i="1"/>
  <c r="I9" i="1"/>
  <c r="I10" i="1"/>
  <c r="I11" i="1"/>
  <c r="I12" i="1"/>
  <c r="I4" i="1"/>
  <c r="H5" i="1"/>
  <c r="H6" i="1"/>
  <c r="H7" i="1"/>
  <c r="H8" i="1"/>
  <c r="H9" i="1"/>
  <c r="H10" i="1"/>
  <c r="H11" i="1"/>
  <c r="H12" i="1"/>
  <c r="H4" i="1"/>
  <c r="S13" i="1" l="1"/>
  <c r="Q13" i="1"/>
  <c r="S12" i="1"/>
  <c r="Q12" i="1"/>
  <c r="O12" i="1"/>
  <c r="P12" i="1" s="1"/>
  <c r="N12" i="1"/>
  <c r="K12" i="1"/>
  <c r="T13" i="1" l="1"/>
  <c r="M12" i="1"/>
  <c r="L12" i="1"/>
  <c r="T12" i="1" s="1"/>
</calcChain>
</file>

<file path=xl/sharedStrings.xml><?xml version="1.0" encoding="utf-8"?>
<sst xmlns="http://schemas.openxmlformats.org/spreadsheetml/2006/main" count="54" uniqueCount="46">
  <si>
    <t>CONTRATO</t>
  </si>
  <si>
    <t>INGRESO</t>
  </si>
  <si>
    <t>RETIRO</t>
  </si>
  <si>
    <t>SUELDO MENSUAL</t>
  </si>
  <si>
    <t>AUX TRANSPORTE</t>
  </si>
  <si>
    <t>SALARIO</t>
  </si>
  <si>
    <t>DIAS LABORADOS</t>
  </si>
  <si>
    <t>SALUD</t>
  </si>
  <si>
    <t>PENSION</t>
  </si>
  <si>
    <t>PRIMA DE SERVICOS</t>
  </si>
  <si>
    <t>CESANTIAS</t>
  </si>
  <si>
    <t>INTERESES CESANTIAS</t>
  </si>
  <si>
    <t>VACACIONES</t>
  </si>
  <si>
    <t>REGLA DE 3</t>
  </si>
  <si>
    <t>INDEMNIZACION</t>
  </si>
  <si>
    <t>LIQUIDACION TOTAL</t>
  </si>
  <si>
    <t>1 año</t>
  </si>
  <si>
    <t>SALARIO PENDIENTE</t>
  </si>
  <si>
    <t>DIAS PENDIENTES</t>
  </si>
  <si>
    <t>CASOS</t>
  </si>
  <si>
    <t>EXTRAORDINARIO 1</t>
  </si>
  <si>
    <t>EXTRAORDINARIO 2</t>
  </si>
  <si>
    <t>EXTRAORDINARIO 3</t>
  </si>
  <si>
    <t>ERROR 1</t>
  </si>
  <si>
    <t>ERROR 2</t>
  </si>
  <si>
    <t>ERROR 3</t>
  </si>
  <si>
    <t>ERROR 4</t>
  </si>
  <si>
    <t>Yasmin Urrego</t>
  </si>
  <si>
    <t>Laura Echeverry</t>
  </si>
  <si>
    <t>Diego Gomez</t>
  </si>
  <si>
    <t>Nicolas Orozco</t>
  </si>
  <si>
    <t>Bryan Mosquera</t>
  </si>
  <si>
    <t>Jenny Zanabria</t>
  </si>
  <si>
    <t>Patrick Otero</t>
  </si>
  <si>
    <t>Santiago Chavez</t>
  </si>
  <si>
    <t>Lorena Monsalve</t>
  </si>
  <si>
    <t>Sara Barragan</t>
  </si>
  <si>
    <t>NORMAL 1 (Liquidacion con fraccion de mes)</t>
  </si>
  <si>
    <t>NORMAL 2 (Sin salario pendiente y vacaciones adelantadas)</t>
  </si>
  <si>
    <t>NORMAL 3 (Cierre semestral exacto)</t>
  </si>
  <si>
    <t>30/02/2026</t>
  </si>
  <si>
    <t>FECHA DE PRIMAS</t>
  </si>
  <si>
    <t>julio-diciembre</t>
  </si>
  <si>
    <t>FECHA CESANTIAS</t>
  </si>
  <si>
    <t>1 ano</t>
  </si>
  <si>
    <t xml:space="preserve">la regla de 3 se calcula con los dias laborados * 30 dividivo 360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</si>
</sst>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032-477E-4442-88AC-5B9A62BA557F}">
  <dimension ref="A3:T25"/>
  <sheetViews>
    <sheetView tabSelected="1" topLeftCell="D1" zoomScale="70" zoomScaleNormal="70" workbookViewId="0">
      <selection activeCell="T6" sqref="T6"/>
    </sheetView>
  </sheetViews>
  <sheetFormatPr baseColWidth="10" defaultColWidth="15.88671875" defaultRowHeight="38.549999999999997" customHeight="1" x14ac:dyDescent="0.3"/>
  <cols>
    <col min="1" max="1" width="27.5546875" customWidth="1"/>
    <col min="2" max="2" width="21.5546875" customWidth="1"/>
    <col min="3" max="3" width="21.44140625" customWidth="1"/>
    <col min="4" max="4" width="17.44140625" customWidth="1"/>
    <col min="5" max="5" width="17.88671875" customWidth="1"/>
    <col min="6" max="6" width="21.21875" customWidth="1"/>
    <col min="7" max="7" width="18.109375" customWidth="1"/>
    <col min="8" max="8" width="20.88671875" customWidth="1"/>
    <col min="9" max="10" width="13.88671875" customWidth="1"/>
    <col min="11" max="11" width="24.77734375" customWidth="1"/>
    <col min="12" max="12" width="25.21875" customWidth="1"/>
    <col min="13" max="13" width="24" customWidth="1"/>
    <col min="14" max="14" width="21.88671875" customWidth="1"/>
    <col min="15" max="15" width="23.44140625" customWidth="1"/>
    <col min="16" max="16" width="20.88671875" customWidth="1"/>
    <col min="17" max="17" width="23.77734375" customWidth="1"/>
    <col min="18" max="18" width="22.77734375" customWidth="1"/>
    <col min="19" max="19" width="23.5546875" customWidth="1"/>
    <col min="20" max="20" width="26.77734375" customWidth="1"/>
  </cols>
  <sheetData>
    <row r="3" spans="1:20" ht="38.549999999999997" customHeight="1" x14ac:dyDescent="0.3">
      <c r="A3" s="8" t="s">
        <v>19</v>
      </c>
      <c r="B3" s="9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18</v>
      </c>
      <c r="K3" s="1" t="s">
        <v>17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4" t="s">
        <v>15</v>
      </c>
    </row>
    <row r="4" spans="1:20" ht="38.549999999999997" customHeight="1" x14ac:dyDescent="0.3">
      <c r="A4" s="2" t="s">
        <v>37</v>
      </c>
      <c r="B4" s="2" t="s">
        <v>27</v>
      </c>
      <c r="C4" s="2" t="s">
        <v>16</v>
      </c>
      <c r="D4" s="5">
        <v>46023</v>
      </c>
      <c r="E4" s="5">
        <v>46371</v>
      </c>
      <c r="F4" s="6">
        <v>1750905</v>
      </c>
      <c r="G4" s="7">
        <v>249095</v>
      </c>
      <c r="H4" s="7">
        <f>F4+G4</f>
        <v>2000000</v>
      </c>
      <c r="I4" s="2">
        <f>DAYS360(D4,E4)+1</f>
        <v>345</v>
      </c>
      <c r="J4" s="2">
        <v>15</v>
      </c>
      <c r="K4" s="7">
        <f>(H4/30)*J4</f>
        <v>1000000.0000000001</v>
      </c>
      <c r="L4" s="7">
        <f>K4*0.04</f>
        <v>40000.000000000007</v>
      </c>
      <c r="M4" s="7">
        <f>K4*0.04</f>
        <v>40000.000000000007</v>
      </c>
      <c r="N4" s="7">
        <f>(H4*L16)/360</f>
        <v>916666.66666666663</v>
      </c>
      <c r="O4" s="7">
        <f>(H4*N16)/360</f>
        <v>1916666.6666666667</v>
      </c>
      <c r="P4" s="7">
        <f>(O4*N16*0.12)/360</f>
        <v>220416.66666666666</v>
      </c>
      <c r="Q4" s="12">
        <f>(F4*I4)/720</f>
        <v>838975.3125</v>
      </c>
      <c r="R4" s="3">
        <v>0</v>
      </c>
      <c r="S4" s="13">
        <f>(F4/30)*R4</f>
        <v>0</v>
      </c>
      <c r="T4" s="13">
        <f>S4+Q4+P4+O4+N4+K4-L4-M4</f>
        <v>4812725.3125</v>
      </c>
    </row>
    <row r="5" spans="1:20" ht="38.549999999999997" customHeight="1" x14ac:dyDescent="0.3">
      <c r="A5" s="2" t="s">
        <v>38</v>
      </c>
      <c r="B5" s="2" t="s">
        <v>28</v>
      </c>
      <c r="C5" s="2" t="s">
        <v>44</v>
      </c>
      <c r="D5" s="5">
        <v>45726</v>
      </c>
      <c r="E5" s="5">
        <v>46254</v>
      </c>
      <c r="F5" s="6">
        <v>1750905</v>
      </c>
      <c r="G5" s="7">
        <v>249095</v>
      </c>
      <c r="H5" s="7">
        <f t="shared" ref="H5:H13" si="0">F5+G5</f>
        <v>2000000</v>
      </c>
      <c r="I5" s="2">
        <f t="shared" ref="I5:I13" si="1">DAYS360(D5,E5)+1</f>
        <v>521</v>
      </c>
      <c r="J5" s="2">
        <v>0</v>
      </c>
      <c r="K5" s="7">
        <f t="shared" ref="K5:K13" si="2">(H5/30)*J5</f>
        <v>0</v>
      </c>
      <c r="L5" s="7">
        <f t="shared" ref="L5:L13" si="3">K5*0.04</f>
        <v>0</v>
      </c>
      <c r="M5" s="7">
        <f t="shared" ref="M5:M13" si="4">K5*0.04</f>
        <v>0</v>
      </c>
      <c r="N5" s="7">
        <f t="shared" ref="N5:N13" si="5">(H5*L17)/360</f>
        <v>277777.77777777775</v>
      </c>
      <c r="O5" s="7">
        <f t="shared" ref="O5:O13" si="6">(H5*N17)/360</f>
        <v>1277777.7777777778</v>
      </c>
      <c r="P5" s="7">
        <f t="shared" ref="P5:P13" si="7">(O5*N17*0.12)/360</f>
        <v>97962.962962962949</v>
      </c>
      <c r="Q5" s="12">
        <f t="shared" ref="Q5:Q13" si="8">(F5*I5)/720</f>
        <v>1266974.3125</v>
      </c>
      <c r="R5" s="3">
        <v>0</v>
      </c>
      <c r="S5" s="13">
        <f t="shared" ref="S5:S13" si="9">(F5/30)*R5</f>
        <v>0</v>
      </c>
      <c r="T5" s="13">
        <f t="shared" ref="T5:T13" si="10">S5+Q5+P5+O5+N5+K5-L5-M5</f>
        <v>2920492.8310185187</v>
      </c>
    </row>
    <row r="6" spans="1:20" ht="38.549999999999997" customHeight="1" x14ac:dyDescent="0.3">
      <c r="A6" s="2" t="s">
        <v>39</v>
      </c>
      <c r="B6" s="2" t="s">
        <v>29</v>
      </c>
      <c r="C6" s="2" t="s">
        <v>16</v>
      </c>
      <c r="D6" s="5">
        <v>46023</v>
      </c>
      <c r="E6" s="5">
        <v>46203</v>
      </c>
      <c r="F6" s="6">
        <v>3950000</v>
      </c>
      <c r="G6" s="7">
        <v>0</v>
      </c>
      <c r="H6" s="7">
        <f t="shared" si="0"/>
        <v>3950000</v>
      </c>
      <c r="I6" s="2">
        <f>DAYS360(D6,E6,TRUE)+1</f>
        <v>180</v>
      </c>
      <c r="J6" s="2">
        <v>30</v>
      </c>
      <c r="K6" s="7">
        <f t="shared" si="2"/>
        <v>3949999.9999999995</v>
      </c>
      <c r="L6" s="7">
        <f t="shared" si="3"/>
        <v>157999.99999999997</v>
      </c>
      <c r="M6" s="7">
        <f t="shared" si="4"/>
        <v>157999.99999999997</v>
      </c>
      <c r="N6" s="7">
        <f t="shared" si="5"/>
        <v>1975000</v>
      </c>
      <c r="O6" s="7">
        <f t="shared" si="6"/>
        <v>1975000</v>
      </c>
      <c r="P6" s="7">
        <f t="shared" si="7"/>
        <v>118500</v>
      </c>
      <c r="Q6" s="12">
        <f t="shared" si="8"/>
        <v>987500</v>
      </c>
      <c r="R6" s="3">
        <v>0</v>
      </c>
      <c r="S6" s="13">
        <f t="shared" si="9"/>
        <v>0</v>
      </c>
      <c r="T6" s="13">
        <f t="shared" si="10"/>
        <v>8690000</v>
      </c>
    </row>
    <row r="7" spans="1:20" ht="38.549999999999997" customHeight="1" x14ac:dyDescent="0.3">
      <c r="A7" s="2" t="s">
        <v>20</v>
      </c>
      <c r="B7" s="10" t="s">
        <v>30</v>
      </c>
      <c r="C7" s="2" t="s">
        <v>16</v>
      </c>
      <c r="D7" s="5">
        <v>45413</v>
      </c>
      <c r="E7" s="5">
        <v>46265</v>
      </c>
      <c r="F7" s="6">
        <v>1900000</v>
      </c>
      <c r="G7" s="7">
        <v>249095</v>
      </c>
      <c r="H7" s="7">
        <f t="shared" si="0"/>
        <v>2149095</v>
      </c>
      <c r="I7" s="2">
        <f t="shared" si="1"/>
        <v>841</v>
      </c>
      <c r="J7" s="2">
        <v>0</v>
      </c>
      <c r="K7" s="7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7">
        <f t="shared" si="6"/>
        <v>1611821.25</v>
      </c>
      <c r="P7" s="7">
        <f t="shared" si="7"/>
        <v>145063.91250000001</v>
      </c>
      <c r="Q7" s="12">
        <f t="shared" si="8"/>
        <v>2219305.5555555555</v>
      </c>
      <c r="R7" s="3">
        <v>0</v>
      </c>
      <c r="S7" s="13">
        <f t="shared" si="9"/>
        <v>0</v>
      </c>
      <c r="T7" s="13">
        <f t="shared" si="10"/>
        <v>3976190.7180555556</v>
      </c>
    </row>
    <row r="8" spans="1:20" ht="38.549999999999997" customHeight="1" x14ac:dyDescent="0.3">
      <c r="A8" s="2" t="s">
        <v>21</v>
      </c>
      <c r="B8" s="2" t="s">
        <v>31</v>
      </c>
      <c r="C8" s="2" t="s">
        <v>16</v>
      </c>
      <c r="D8" s="5">
        <v>46054</v>
      </c>
      <c r="E8" s="5">
        <v>46081</v>
      </c>
      <c r="F8" s="6">
        <v>2000000</v>
      </c>
      <c r="G8" s="7">
        <v>249095</v>
      </c>
      <c r="H8" s="7">
        <f t="shared" si="0"/>
        <v>2249095</v>
      </c>
      <c r="I8" s="2">
        <f t="shared" si="1"/>
        <v>28</v>
      </c>
      <c r="J8" s="2">
        <v>0</v>
      </c>
      <c r="K8" s="7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7">
        <f t="shared" si="6"/>
        <v>174929.61111111112</v>
      </c>
      <c r="P8" s="7">
        <f t="shared" si="7"/>
        <v>1632.6763703703705</v>
      </c>
      <c r="Q8" s="12">
        <f t="shared" si="8"/>
        <v>77777.777777777781</v>
      </c>
      <c r="R8" s="3">
        <v>0</v>
      </c>
      <c r="S8" s="13">
        <f t="shared" si="9"/>
        <v>0</v>
      </c>
      <c r="T8" s="13">
        <f t="shared" si="10"/>
        <v>254340.06525925928</v>
      </c>
    </row>
    <row r="9" spans="1:20" ht="38.549999999999997" customHeight="1" x14ac:dyDescent="0.3">
      <c r="A9" s="2" t="s">
        <v>22</v>
      </c>
      <c r="B9" s="2" t="s">
        <v>32</v>
      </c>
      <c r="C9" s="2" t="s">
        <v>16</v>
      </c>
      <c r="D9" s="5">
        <v>45658</v>
      </c>
      <c r="E9" s="5">
        <v>46233</v>
      </c>
      <c r="F9" s="6">
        <v>20000000</v>
      </c>
      <c r="G9" s="7">
        <v>0</v>
      </c>
      <c r="H9" s="7">
        <f t="shared" si="0"/>
        <v>20000000</v>
      </c>
      <c r="I9" s="2">
        <f t="shared" si="1"/>
        <v>570</v>
      </c>
      <c r="J9" s="2">
        <v>0</v>
      </c>
      <c r="K9" s="7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7">
        <v>0</v>
      </c>
      <c r="P9" s="7">
        <v>0</v>
      </c>
      <c r="Q9" s="12">
        <f t="shared" si="8"/>
        <v>15833333.333333334</v>
      </c>
      <c r="R9" s="3">
        <v>0</v>
      </c>
      <c r="S9" s="13">
        <v>0</v>
      </c>
      <c r="T9" s="13">
        <f t="shared" si="10"/>
        <v>15833333.333333334</v>
      </c>
    </row>
    <row r="10" spans="1:20" ht="38.549999999999997" customHeight="1" x14ac:dyDescent="0.3">
      <c r="A10" s="2" t="s">
        <v>23</v>
      </c>
      <c r="B10" s="2" t="s">
        <v>33</v>
      </c>
      <c r="C10" s="2" t="s">
        <v>16</v>
      </c>
      <c r="D10" s="5">
        <v>46280</v>
      </c>
      <c r="E10" s="2" t="s">
        <v>40</v>
      </c>
      <c r="F10" s="6">
        <v>0</v>
      </c>
      <c r="G10" s="7">
        <v>0</v>
      </c>
      <c r="H10" s="7">
        <f t="shared" si="0"/>
        <v>0</v>
      </c>
      <c r="I10" s="2" t="e">
        <f t="shared" si="1"/>
        <v>#VALUE!</v>
      </c>
      <c r="J10" s="2">
        <v>0</v>
      </c>
      <c r="K10" s="7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7">
        <f t="shared" si="6"/>
        <v>0</v>
      </c>
      <c r="P10" s="7">
        <f t="shared" si="7"/>
        <v>0</v>
      </c>
      <c r="Q10" s="12" t="e">
        <f t="shared" si="8"/>
        <v>#VALUE!</v>
      </c>
      <c r="R10" s="3">
        <v>0</v>
      </c>
      <c r="S10" s="13">
        <f t="shared" si="9"/>
        <v>0</v>
      </c>
      <c r="T10" s="13" t="e">
        <f t="shared" si="10"/>
        <v>#VALUE!</v>
      </c>
    </row>
    <row r="11" spans="1:20" ht="38.549999999999997" customHeight="1" x14ac:dyDescent="0.3">
      <c r="A11" s="2" t="s">
        <v>24</v>
      </c>
      <c r="B11" s="2" t="s">
        <v>34</v>
      </c>
      <c r="C11" s="2" t="s">
        <v>16</v>
      </c>
      <c r="D11" s="5">
        <v>46054</v>
      </c>
      <c r="E11" s="5">
        <v>46290</v>
      </c>
      <c r="F11" s="6">
        <v>-2150000</v>
      </c>
      <c r="G11" s="7">
        <v>0</v>
      </c>
      <c r="H11" s="7">
        <f t="shared" si="0"/>
        <v>-2150000</v>
      </c>
      <c r="I11" s="2">
        <f t="shared" si="1"/>
        <v>235</v>
      </c>
      <c r="J11" s="2">
        <v>25</v>
      </c>
      <c r="K11" s="7">
        <f t="shared" si="2"/>
        <v>-1791666.6666666667</v>
      </c>
      <c r="L11" s="7">
        <f t="shared" si="3"/>
        <v>-71666.666666666672</v>
      </c>
      <c r="M11" s="7">
        <f t="shared" si="4"/>
        <v>-71666.666666666672</v>
      </c>
      <c r="N11" s="7">
        <f t="shared" si="5"/>
        <v>0</v>
      </c>
      <c r="O11" s="7">
        <f t="shared" si="6"/>
        <v>-1403472.2222222222</v>
      </c>
      <c r="P11" s="7">
        <f t="shared" si="7"/>
        <v>-109938.6574074074</v>
      </c>
      <c r="Q11" s="12">
        <f t="shared" si="8"/>
        <v>-701736.11111111112</v>
      </c>
      <c r="R11" s="3">
        <v>0</v>
      </c>
      <c r="S11" s="13">
        <f t="shared" si="9"/>
        <v>0</v>
      </c>
      <c r="T11" s="13">
        <f t="shared" si="10"/>
        <v>-3863480.3240740746</v>
      </c>
    </row>
    <row r="12" spans="1:20" ht="38.549999999999997" customHeight="1" x14ac:dyDescent="0.3">
      <c r="A12" s="2" t="s">
        <v>25</v>
      </c>
      <c r="B12" s="2" t="s">
        <v>35</v>
      </c>
      <c r="C12" s="2" t="s">
        <v>16</v>
      </c>
      <c r="D12" s="5">
        <v>46037</v>
      </c>
      <c r="E12" s="5">
        <v>46325</v>
      </c>
      <c r="F12" s="6">
        <v>4500000</v>
      </c>
      <c r="G12" s="7">
        <v>0</v>
      </c>
      <c r="H12" s="7">
        <f t="shared" si="0"/>
        <v>4500000</v>
      </c>
      <c r="I12" s="2">
        <f t="shared" si="1"/>
        <v>286</v>
      </c>
      <c r="J12" s="11">
        <v>35</v>
      </c>
      <c r="K12" s="7">
        <f t="shared" si="2"/>
        <v>5250000</v>
      </c>
      <c r="L12" s="7">
        <f t="shared" si="3"/>
        <v>210000</v>
      </c>
      <c r="M12" s="7">
        <f t="shared" si="4"/>
        <v>210000</v>
      </c>
      <c r="N12" s="7">
        <f t="shared" si="5"/>
        <v>0</v>
      </c>
      <c r="O12" s="7">
        <f t="shared" si="6"/>
        <v>3587500</v>
      </c>
      <c r="P12" s="7">
        <f t="shared" si="7"/>
        <v>343204.16666666669</v>
      </c>
      <c r="Q12" s="12">
        <f t="shared" si="8"/>
        <v>1787500</v>
      </c>
      <c r="R12" s="3">
        <v>0</v>
      </c>
      <c r="S12" s="13">
        <f t="shared" si="9"/>
        <v>0</v>
      </c>
      <c r="T12" s="13">
        <f t="shared" si="10"/>
        <v>10548204.166666666</v>
      </c>
    </row>
    <row r="13" spans="1:20" ht="38.549999999999997" customHeight="1" x14ac:dyDescent="0.3">
      <c r="A13" s="2" t="s">
        <v>26</v>
      </c>
      <c r="B13" s="2" t="s">
        <v>36</v>
      </c>
      <c r="C13" s="2" t="s">
        <v>16</v>
      </c>
      <c r="D13" s="5">
        <v>45667</v>
      </c>
      <c r="E13" s="5">
        <v>46386</v>
      </c>
      <c r="F13" s="6">
        <v>18000000</v>
      </c>
      <c r="G13" s="7">
        <v>249095</v>
      </c>
      <c r="H13" s="7">
        <f t="shared" si="0"/>
        <v>18249095</v>
      </c>
      <c r="I13" s="2">
        <f t="shared" si="1"/>
        <v>711</v>
      </c>
      <c r="J13" s="2">
        <v>0</v>
      </c>
      <c r="K13" s="7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7">
        <f t="shared" si="6"/>
        <v>0</v>
      </c>
      <c r="P13" s="7">
        <f t="shared" si="7"/>
        <v>0</v>
      </c>
      <c r="Q13" s="12">
        <f t="shared" si="8"/>
        <v>17775000</v>
      </c>
      <c r="R13" s="3">
        <v>0</v>
      </c>
      <c r="S13" s="13">
        <f t="shared" si="9"/>
        <v>0</v>
      </c>
      <c r="T13" s="13">
        <f t="shared" si="10"/>
        <v>17775000</v>
      </c>
    </row>
    <row r="15" spans="1:20" ht="38.549999999999997" customHeight="1" x14ac:dyDescent="0.3">
      <c r="K15" s="14" t="s">
        <v>41</v>
      </c>
      <c r="L15" s="15"/>
      <c r="M15" s="14" t="s">
        <v>43</v>
      </c>
      <c r="N15" s="15"/>
      <c r="Q15" s="16" t="s">
        <v>45</v>
      </c>
      <c r="R15" s="16"/>
    </row>
    <row r="16" spans="1:20" ht="38.549999999999997" customHeight="1" x14ac:dyDescent="0.3">
      <c r="J16" s="10">
        <v>1</v>
      </c>
      <c r="K16" s="2" t="s">
        <v>42</v>
      </c>
      <c r="L16" s="2">
        <v>165</v>
      </c>
      <c r="M16" s="2"/>
      <c r="N16" s="2">
        <v>345</v>
      </c>
    </row>
    <row r="17" spans="10:14" ht="38.549999999999997" customHeight="1" x14ac:dyDescent="0.3">
      <c r="J17" s="10">
        <v>2</v>
      </c>
      <c r="K17" s="2"/>
      <c r="L17" s="2">
        <v>50</v>
      </c>
      <c r="M17" s="2"/>
      <c r="N17" s="2">
        <v>230</v>
      </c>
    </row>
    <row r="18" spans="10:14" ht="38.549999999999997" customHeight="1" x14ac:dyDescent="0.3">
      <c r="J18" s="10">
        <v>3</v>
      </c>
      <c r="K18" s="2"/>
      <c r="L18" s="2">
        <v>180</v>
      </c>
      <c r="M18" s="2"/>
      <c r="N18" s="2">
        <v>180</v>
      </c>
    </row>
    <row r="19" spans="10:14" ht="38.549999999999997" customHeight="1" x14ac:dyDescent="0.3">
      <c r="J19" s="10">
        <v>4</v>
      </c>
      <c r="K19" s="2"/>
      <c r="L19" s="2"/>
      <c r="M19" s="2"/>
      <c r="N19" s="2">
        <v>270</v>
      </c>
    </row>
    <row r="20" spans="10:14" ht="38.549999999999997" customHeight="1" x14ac:dyDescent="0.3">
      <c r="J20" s="10">
        <v>5</v>
      </c>
      <c r="K20" s="2"/>
      <c r="L20" s="2"/>
      <c r="M20" s="2"/>
      <c r="N20" s="2">
        <v>28</v>
      </c>
    </row>
    <row r="21" spans="10:14" ht="38.549999999999997" customHeight="1" x14ac:dyDescent="0.3">
      <c r="J21" s="10">
        <v>6</v>
      </c>
      <c r="K21" s="2"/>
      <c r="L21" s="2"/>
      <c r="M21" s="2"/>
      <c r="N21" s="2">
        <v>240</v>
      </c>
    </row>
    <row r="22" spans="10:14" ht="38.549999999999997" customHeight="1" x14ac:dyDescent="0.3">
      <c r="J22" s="10">
        <v>7</v>
      </c>
      <c r="K22" s="2"/>
      <c r="L22" s="2"/>
      <c r="M22" s="2"/>
      <c r="N22" s="2"/>
    </row>
    <row r="23" spans="10:14" ht="38.549999999999997" customHeight="1" x14ac:dyDescent="0.3">
      <c r="J23" s="10">
        <v>8</v>
      </c>
      <c r="K23" s="2"/>
      <c r="L23" s="2"/>
      <c r="M23" s="2"/>
      <c r="N23" s="2">
        <v>235</v>
      </c>
    </row>
    <row r="24" spans="10:14" ht="38.549999999999997" customHeight="1" x14ac:dyDescent="0.3">
      <c r="J24" s="10">
        <v>9</v>
      </c>
      <c r="K24" s="2"/>
      <c r="L24" s="2"/>
      <c r="M24" s="2"/>
      <c r="N24" s="2">
        <v>287</v>
      </c>
    </row>
    <row r="25" spans="10:14" ht="38.549999999999997" customHeight="1" x14ac:dyDescent="0.3">
      <c r="J25" s="10">
        <v>10</v>
      </c>
      <c r="K25" s="2"/>
      <c r="L25" s="2"/>
      <c r="M25" s="2"/>
      <c r="N25" s="2"/>
    </row>
  </sheetData>
  <mergeCells count="3">
    <mergeCell ref="K15:L15"/>
    <mergeCell ref="M15:N15"/>
    <mergeCell ref="Q15:R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Schoonewolff</dc:creator>
  <cp:lastModifiedBy>Hans Schoonewolff</cp:lastModifiedBy>
  <dcterms:created xsi:type="dcterms:W3CDTF">2026-07-28T00:06:21Z</dcterms:created>
  <dcterms:modified xsi:type="dcterms:W3CDTF">2026-08-12T08:23:35Z</dcterms:modified>
</cp:coreProperties>
</file>