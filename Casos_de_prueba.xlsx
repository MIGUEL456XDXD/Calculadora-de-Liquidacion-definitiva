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411a106e59786b/Documentos/Lenguaje programacion codigo limpio/Nueva carpeta/"/>
    </mc:Choice>
  </mc:AlternateContent>
  <xr:revisionPtr revIDLastSave="112" documentId="8_{1A40F46C-0700-4F72-9488-C5E7A8A9038B}" xr6:coauthVersionLast="47" xr6:coauthVersionMax="47" xr10:uidLastSave="{933F4516-467A-402A-9299-851C4939A279}"/>
  <bookViews>
    <workbookView xWindow="-110" yWindow="-110" windowWidth="19420" windowHeight="10300" xr2:uid="{35AB77E2-3791-41A9-A4DB-E83E72B647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" i="1" l="1"/>
  <c r="I13" i="1" l="1"/>
  <c r="H13" i="1"/>
  <c r="I5" i="1"/>
  <c r="I7" i="1"/>
  <c r="I8" i="1"/>
  <c r="I9" i="1"/>
  <c r="I10" i="1"/>
  <c r="I11" i="1"/>
  <c r="I12" i="1"/>
  <c r="I4" i="1"/>
  <c r="H5" i="1"/>
  <c r="H6" i="1"/>
  <c r="H7" i="1"/>
  <c r="H8" i="1"/>
  <c r="H9" i="1"/>
  <c r="H10" i="1"/>
  <c r="H11" i="1"/>
  <c r="H12" i="1"/>
  <c r="H4" i="1"/>
</calcChain>
</file>

<file path=xl/sharedStrings.xml><?xml version="1.0" encoding="utf-8"?>
<sst xmlns="http://schemas.openxmlformats.org/spreadsheetml/2006/main" count="50" uniqueCount="41">
  <si>
    <t>CONTRATO</t>
  </si>
  <si>
    <t>INGRESO</t>
  </si>
  <si>
    <t>RETIRO</t>
  </si>
  <si>
    <t>SUELDO MENSUAL</t>
  </si>
  <si>
    <t>AUX TRANSPORTE</t>
  </si>
  <si>
    <t>SALARIO</t>
  </si>
  <si>
    <t>DIAS LABORADOS</t>
  </si>
  <si>
    <t>SALUD</t>
  </si>
  <si>
    <t>PENSION</t>
  </si>
  <si>
    <t>PRIMA DE SERVICOS</t>
  </si>
  <si>
    <t>CESANTIAS</t>
  </si>
  <si>
    <t>INTERESES CESANTIAS</t>
  </si>
  <si>
    <t>VACACIONES</t>
  </si>
  <si>
    <t>REGLA DE 3</t>
  </si>
  <si>
    <t>INDEMNIZACION</t>
  </si>
  <si>
    <t>LIQUIDACION TOTAL</t>
  </si>
  <si>
    <t>1 año</t>
  </si>
  <si>
    <t>SALARIO PENDIENTE</t>
  </si>
  <si>
    <t>DIAS PENDIENTES</t>
  </si>
  <si>
    <t>CASOS</t>
  </si>
  <si>
    <t>EXTRAORDINARIO 1</t>
  </si>
  <si>
    <t>EXTRAORDINARIO 2</t>
  </si>
  <si>
    <t>EXTRAORDINARIO 3</t>
  </si>
  <si>
    <t>ERROR 1</t>
  </si>
  <si>
    <t>ERROR 2</t>
  </si>
  <si>
    <t>ERROR 3</t>
  </si>
  <si>
    <t>ERROR 4</t>
  </si>
  <si>
    <t>Yasmin Urrego</t>
  </si>
  <si>
    <t>Laura Echeverry</t>
  </si>
  <si>
    <t>Diego Gomez</t>
  </si>
  <si>
    <t>Nicolas Orozco</t>
  </si>
  <si>
    <t>Bryan Mosquera</t>
  </si>
  <si>
    <t>Jenny Zanabria</t>
  </si>
  <si>
    <t>Patrick Otero</t>
  </si>
  <si>
    <t>Santiago Chavez</t>
  </si>
  <si>
    <t>Lorena Monsalve</t>
  </si>
  <si>
    <t>Sara Barragan</t>
  </si>
  <si>
    <t>NORMAL 1 (Liquidacion con fraccion de mes)</t>
  </si>
  <si>
    <t>NORMAL 2 (Sin salario pendiente y vacaciones adelantadas)</t>
  </si>
  <si>
    <t>NORMAL 3 (Cierre semestral exacto)</t>
  </si>
  <si>
    <t>30/02/2026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</si>
</sst>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86032-477E-4442-88AC-5B9A62BA557F}">
  <dimension ref="A3:T13"/>
  <sheetViews>
    <sheetView tabSelected="1" topLeftCell="A8" zoomScale="93" zoomScaleNormal="55" workbookViewId="0">
      <selection activeCell="F11" sqref="F11"/>
    </sheetView>
  </sheetViews>
  <sheetFormatPr baseColWidth="10" defaultColWidth="15.90625" defaultRowHeight="38.5" customHeight="1" x14ac:dyDescent="0.35"/>
  <cols>
    <col min="1" max="1" width="27.54296875" customWidth="1"/>
    <col min="2" max="2" width="21.54296875" customWidth="1"/>
    <col min="3" max="3" width="21.453125" customWidth="1"/>
    <col min="4" max="4" width="17.453125" customWidth="1"/>
    <col min="5" max="5" width="17.90625" customWidth="1"/>
    <col min="6" max="6" width="21.1796875" customWidth="1"/>
    <col min="7" max="7" width="18.08984375" customWidth="1"/>
    <col min="8" max="8" width="20.90625" customWidth="1"/>
    <col min="9" max="10" width="13.90625" customWidth="1"/>
    <col min="11" max="11" width="20.26953125" customWidth="1"/>
    <col min="15" max="15" width="19.36328125" customWidth="1"/>
    <col min="16" max="16" width="20.90625" customWidth="1"/>
    <col min="17" max="17" width="23.81640625" customWidth="1"/>
    <col min="18" max="18" width="22.81640625" customWidth="1"/>
    <col min="19" max="19" width="23.54296875" customWidth="1"/>
    <col min="20" max="20" width="26.81640625" customWidth="1"/>
  </cols>
  <sheetData>
    <row r="3" spans="1:20" ht="38.5" customHeight="1" x14ac:dyDescent="0.35">
      <c r="A3" s="8" t="s">
        <v>19</v>
      </c>
      <c r="B3" s="9"/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18</v>
      </c>
      <c r="K3" s="1" t="s">
        <v>17</v>
      </c>
      <c r="L3" s="1" t="s">
        <v>7</v>
      </c>
      <c r="M3" s="1" t="s">
        <v>8</v>
      </c>
      <c r="N3" s="1" t="s">
        <v>9</v>
      </c>
      <c r="O3" s="1" t="s">
        <v>10</v>
      </c>
      <c r="P3" s="1" t="s">
        <v>11</v>
      </c>
      <c r="Q3" s="1" t="s">
        <v>12</v>
      </c>
      <c r="R3" s="1" t="s">
        <v>13</v>
      </c>
      <c r="S3" s="1" t="s">
        <v>14</v>
      </c>
      <c r="T3" s="4" t="s">
        <v>15</v>
      </c>
    </row>
    <row r="4" spans="1:20" ht="38.5" customHeight="1" x14ac:dyDescent="0.35">
      <c r="A4" s="2" t="s">
        <v>37</v>
      </c>
      <c r="B4" s="2" t="s">
        <v>27</v>
      </c>
      <c r="C4" s="2" t="s">
        <v>16</v>
      </c>
      <c r="D4" s="5">
        <v>46023</v>
      </c>
      <c r="E4" s="5">
        <v>46371</v>
      </c>
      <c r="F4" s="6">
        <v>1750905</v>
      </c>
      <c r="G4" s="7">
        <v>249095</v>
      </c>
      <c r="H4" s="7">
        <f>F4+G4</f>
        <v>2000000</v>
      </c>
      <c r="I4" s="2">
        <f>DAYS360(D4,E4)+1</f>
        <v>345</v>
      </c>
      <c r="J4" s="2">
        <v>15</v>
      </c>
      <c r="K4" s="7"/>
      <c r="L4" s="2"/>
      <c r="M4" s="2"/>
      <c r="N4" s="2"/>
      <c r="O4" s="2"/>
      <c r="P4" s="2"/>
      <c r="Q4" s="2">
        <v>0</v>
      </c>
      <c r="R4" s="3"/>
      <c r="S4" s="3"/>
      <c r="T4" s="3"/>
    </row>
    <row r="5" spans="1:20" ht="38.5" customHeight="1" x14ac:dyDescent="0.35">
      <c r="A5" s="2" t="s">
        <v>38</v>
      </c>
      <c r="B5" s="2" t="s">
        <v>28</v>
      </c>
      <c r="C5" s="2" t="s">
        <v>16</v>
      </c>
      <c r="D5" s="5">
        <v>45726</v>
      </c>
      <c r="E5" s="5">
        <v>46254</v>
      </c>
      <c r="F5" s="6">
        <v>1750905</v>
      </c>
      <c r="G5" s="7">
        <v>249095</v>
      </c>
      <c r="H5" s="7">
        <f t="shared" ref="H5:H13" si="0">F5+G5</f>
        <v>2000000</v>
      </c>
      <c r="I5" s="2">
        <f t="shared" ref="I5:I13" si="1">DAYS360(D5,E5)+1</f>
        <v>521</v>
      </c>
      <c r="J5" s="2">
        <v>0</v>
      </c>
      <c r="K5" s="2"/>
      <c r="L5" s="2"/>
      <c r="M5" s="2"/>
      <c r="N5" s="2"/>
      <c r="O5" s="2"/>
      <c r="P5" s="2"/>
      <c r="Q5" s="2">
        <v>15</v>
      </c>
      <c r="R5" s="3"/>
      <c r="S5" s="3"/>
      <c r="T5" s="3"/>
    </row>
    <row r="6" spans="1:20" ht="38.5" customHeight="1" x14ac:dyDescent="0.35">
      <c r="A6" s="2" t="s">
        <v>39</v>
      </c>
      <c r="B6" s="2" t="s">
        <v>29</v>
      </c>
      <c r="C6" s="2" t="s">
        <v>16</v>
      </c>
      <c r="D6" s="5">
        <v>46023</v>
      </c>
      <c r="E6" s="5">
        <v>46203</v>
      </c>
      <c r="F6" s="6">
        <v>3950000</v>
      </c>
      <c r="G6" s="7">
        <v>0</v>
      </c>
      <c r="H6" s="7">
        <f t="shared" si="0"/>
        <v>3950000</v>
      </c>
      <c r="I6" s="11">
        <f>DAYS360(D6,E6,TRUE)+1</f>
        <v>180</v>
      </c>
      <c r="J6" s="2">
        <v>30</v>
      </c>
      <c r="K6" s="2"/>
      <c r="L6" s="2"/>
      <c r="M6" s="2"/>
      <c r="N6" s="2"/>
      <c r="O6" s="2"/>
      <c r="P6" s="2"/>
      <c r="Q6" s="2"/>
      <c r="R6" s="3"/>
      <c r="S6" s="3"/>
      <c r="T6" s="3"/>
    </row>
    <row r="7" spans="1:20" ht="38.5" customHeight="1" x14ac:dyDescent="0.35">
      <c r="A7" s="2" t="s">
        <v>20</v>
      </c>
      <c r="B7" s="10" t="s">
        <v>30</v>
      </c>
      <c r="C7" s="2" t="s">
        <v>16</v>
      </c>
      <c r="D7" s="5">
        <v>45413</v>
      </c>
      <c r="E7" s="5">
        <v>46265</v>
      </c>
      <c r="F7" s="6">
        <v>1900000</v>
      </c>
      <c r="G7" s="7">
        <v>249095</v>
      </c>
      <c r="H7" s="7">
        <f t="shared" si="0"/>
        <v>2149095</v>
      </c>
      <c r="I7" s="2">
        <f t="shared" si="1"/>
        <v>841</v>
      </c>
      <c r="J7" s="2"/>
      <c r="K7" s="2"/>
      <c r="L7" s="2"/>
      <c r="M7" s="2"/>
      <c r="N7" s="2"/>
      <c r="O7" s="2"/>
      <c r="P7" s="2"/>
      <c r="Q7" s="2"/>
      <c r="R7" s="3"/>
      <c r="S7" s="3"/>
      <c r="T7" s="3"/>
    </row>
    <row r="8" spans="1:20" ht="38.5" customHeight="1" x14ac:dyDescent="0.35">
      <c r="A8" s="2" t="s">
        <v>21</v>
      </c>
      <c r="B8" s="2" t="s">
        <v>31</v>
      </c>
      <c r="C8" s="2" t="s">
        <v>16</v>
      </c>
      <c r="D8" s="5">
        <v>46054</v>
      </c>
      <c r="E8" s="5">
        <v>46081</v>
      </c>
      <c r="F8" s="6">
        <v>2000000</v>
      </c>
      <c r="G8" s="7">
        <v>249095</v>
      </c>
      <c r="H8" s="7">
        <f t="shared" si="0"/>
        <v>2249095</v>
      </c>
      <c r="I8" s="2">
        <f t="shared" si="1"/>
        <v>28</v>
      </c>
      <c r="J8" s="2"/>
      <c r="K8" s="2"/>
      <c r="L8" s="2"/>
      <c r="M8" s="2"/>
      <c r="N8" s="2"/>
      <c r="O8" s="2"/>
      <c r="P8" s="2"/>
      <c r="Q8" s="2"/>
      <c r="R8" s="3"/>
      <c r="S8" s="3"/>
      <c r="T8" s="3"/>
    </row>
    <row r="9" spans="1:20" ht="38.5" customHeight="1" x14ac:dyDescent="0.35">
      <c r="A9" s="2" t="s">
        <v>22</v>
      </c>
      <c r="B9" s="2" t="s">
        <v>32</v>
      </c>
      <c r="C9" s="2" t="s">
        <v>16</v>
      </c>
      <c r="D9" s="5">
        <v>45658</v>
      </c>
      <c r="E9" s="5">
        <v>46233</v>
      </c>
      <c r="F9" s="6">
        <v>20000000</v>
      </c>
      <c r="G9" s="7">
        <v>0</v>
      </c>
      <c r="H9" s="7">
        <f t="shared" si="0"/>
        <v>20000000</v>
      </c>
      <c r="I9" s="2">
        <f t="shared" si="1"/>
        <v>570</v>
      </c>
      <c r="J9" s="2"/>
      <c r="K9" s="2"/>
      <c r="L9" s="2"/>
      <c r="M9" s="2"/>
      <c r="N9" s="2"/>
      <c r="O9" s="2"/>
      <c r="P9" s="2"/>
      <c r="Q9" s="2"/>
      <c r="R9" s="3"/>
      <c r="S9" s="3"/>
      <c r="T9" s="3"/>
    </row>
    <row r="10" spans="1:20" ht="38.5" customHeight="1" x14ac:dyDescent="0.35">
      <c r="A10" s="2" t="s">
        <v>23</v>
      </c>
      <c r="B10" s="2" t="s">
        <v>33</v>
      </c>
      <c r="C10" s="2" t="s">
        <v>16</v>
      </c>
      <c r="D10" s="5">
        <v>46280</v>
      </c>
      <c r="E10" s="2" t="s">
        <v>40</v>
      </c>
      <c r="F10" s="6">
        <v>0</v>
      </c>
      <c r="G10" s="7">
        <v>0</v>
      </c>
      <c r="H10" s="7">
        <f t="shared" si="0"/>
        <v>0</v>
      </c>
      <c r="I10" s="2" t="e">
        <f t="shared" si="1"/>
        <v>#VALUE!</v>
      </c>
      <c r="J10" s="2"/>
      <c r="K10" s="2"/>
      <c r="L10" s="2"/>
      <c r="M10" s="2"/>
      <c r="N10" s="2"/>
      <c r="O10" s="2"/>
      <c r="P10" s="2"/>
      <c r="Q10" s="2"/>
      <c r="R10" s="3"/>
      <c r="S10" s="3"/>
      <c r="T10" s="3"/>
    </row>
    <row r="11" spans="1:20" ht="38.5" customHeight="1" x14ac:dyDescent="0.35">
      <c r="A11" s="2" t="s">
        <v>24</v>
      </c>
      <c r="B11" s="2" t="s">
        <v>34</v>
      </c>
      <c r="C11" s="2" t="s">
        <v>16</v>
      </c>
      <c r="D11" s="5">
        <v>46054</v>
      </c>
      <c r="E11" s="5">
        <v>46290</v>
      </c>
      <c r="F11" s="6">
        <v>-2150000</v>
      </c>
      <c r="G11" s="7">
        <v>0</v>
      </c>
      <c r="H11" s="7">
        <f t="shared" si="0"/>
        <v>-2150000</v>
      </c>
      <c r="I11" s="2">
        <f t="shared" si="1"/>
        <v>235</v>
      </c>
      <c r="J11" s="2"/>
      <c r="K11" s="2"/>
      <c r="L11" s="2"/>
      <c r="M11" s="2"/>
      <c r="N11" s="2"/>
      <c r="O11" s="2"/>
      <c r="P11" s="2"/>
      <c r="Q11" s="2"/>
      <c r="R11" s="3"/>
      <c r="S11" s="3"/>
      <c r="T11" s="3"/>
    </row>
    <row r="12" spans="1:20" ht="38.5" customHeight="1" x14ac:dyDescent="0.35">
      <c r="A12" s="2" t="s">
        <v>25</v>
      </c>
      <c r="B12" s="2" t="s">
        <v>35</v>
      </c>
      <c r="C12" s="2" t="s">
        <v>16</v>
      </c>
      <c r="D12" s="5">
        <v>46037</v>
      </c>
      <c r="E12" s="5">
        <v>46326</v>
      </c>
      <c r="F12" s="6">
        <v>0</v>
      </c>
      <c r="G12" s="7">
        <v>0</v>
      </c>
      <c r="H12" s="7">
        <f t="shared" si="0"/>
        <v>0</v>
      </c>
      <c r="I12" s="2">
        <f t="shared" si="1"/>
        <v>287</v>
      </c>
      <c r="K12" s="2"/>
      <c r="L12" s="2"/>
      <c r="M12" s="2"/>
      <c r="N12" s="2"/>
      <c r="O12" s="2"/>
      <c r="P12" s="2"/>
      <c r="Q12" s="2"/>
      <c r="R12" s="3"/>
      <c r="S12" s="3"/>
      <c r="T12" s="3"/>
    </row>
    <row r="13" spans="1:20" ht="38.5" customHeight="1" x14ac:dyDescent="0.35">
      <c r="A13" s="2" t="s">
        <v>26</v>
      </c>
      <c r="B13" s="2" t="s">
        <v>36</v>
      </c>
      <c r="C13" s="2" t="s">
        <v>16</v>
      </c>
      <c r="D13" s="5">
        <v>45667</v>
      </c>
      <c r="E13" s="5">
        <v>46368</v>
      </c>
      <c r="F13" s="6">
        <v>18000000</v>
      </c>
      <c r="G13" s="7">
        <v>249095</v>
      </c>
      <c r="H13" s="7">
        <f t="shared" si="0"/>
        <v>18249095</v>
      </c>
      <c r="I13" s="2">
        <f t="shared" si="1"/>
        <v>693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Schoonewolff</dc:creator>
  <cp:lastModifiedBy>Hans Schoonewolff</cp:lastModifiedBy>
  <dcterms:created xsi:type="dcterms:W3CDTF">2026-07-28T00:06:21Z</dcterms:created>
  <dcterms:modified xsi:type="dcterms:W3CDTF">2026-08-05T12:30:50Z</dcterms:modified>
</cp:coreProperties>
</file>